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ooyi_synology\source\wooyiFinanceWeb\assets\excel\weekly_table\"/>
    </mc:Choice>
  </mc:AlternateContent>
  <xr:revisionPtr revIDLastSave="0" documentId="13_ncr:1_{BFECF124-1672-4850-9750-0597D85C6689}" xr6:coauthVersionLast="47" xr6:coauthVersionMax="47" xr10:uidLastSave="{00000000-0000-0000-0000-000000000000}"/>
  <bookViews>
    <workbookView xWindow="20" yWindow="600" windowWidth="19180" windowHeight="10200" xr2:uid="{CD0562F8-CBFD-488F-8690-728D47991178}"/>
  </bookViews>
  <sheets>
    <sheet name="Sheet1" sheetId="1" r:id="rId1"/>
  </sheets>
  <definedNames>
    <definedName name="_xlnm.Print_Area" localSheetId="0">Sheet1!$A$1:$H$98</definedName>
    <definedName name="_xlnm.Print_Titles" localSheetId="0">Sheet1!$10:$11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1" i="1" l="1"/>
  <c r="G84" i="1"/>
  <c r="G68" i="1"/>
  <c r="G49" i="1"/>
  <c r="G37" i="1"/>
  <c r="G33" i="1"/>
  <c r="G28" i="1"/>
  <c r="G15" i="1"/>
  <c r="G94" i="1"/>
  <c r="G59" i="1"/>
  <c r="C54" i="1"/>
  <c r="G57" i="1"/>
  <c r="C49" i="1"/>
  <c r="C43" i="1"/>
  <c r="C33" i="1"/>
  <c r="C27" i="1"/>
  <c r="C21" i="1"/>
  <c r="G71" i="1" l="1"/>
  <c r="G43" i="1"/>
  <c r="C95" i="1"/>
  <c r="G95" i="1" l="1"/>
  <c r="G98" i="1" s="1"/>
  <c r="C97" i="1"/>
  <c r="G96" i="1" l="1"/>
  <c r="G97" i="1" s="1"/>
</calcChain>
</file>

<file path=xl/sharedStrings.xml><?xml version="1.0" encoding="utf-8"?>
<sst xmlns="http://schemas.openxmlformats.org/spreadsheetml/2006/main" count="164" uniqueCount="140">
  <si>
    <t xml:space="preserve">우이중앙교회 재정부                                                </t>
    <phoneticPr fontId="7" type="noConversion"/>
  </si>
  <si>
    <t xml:space="preserve">( 2024 년 01월 07일 ) </t>
    <phoneticPr fontId="7" type="noConversion"/>
  </si>
  <si>
    <t>수  입  부</t>
    <phoneticPr fontId="7" type="noConversion"/>
  </si>
  <si>
    <t>지  출  부</t>
    <phoneticPr fontId="7" type="noConversion"/>
  </si>
  <si>
    <t>항</t>
    <phoneticPr fontId="7" type="noConversion"/>
  </si>
  <si>
    <t>계 정 과 목</t>
    <phoneticPr fontId="7" type="noConversion"/>
  </si>
  <si>
    <t>금  액</t>
    <phoneticPr fontId="7" type="noConversion"/>
  </si>
  <si>
    <t>비  고</t>
    <phoneticPr fontId="7" type="noConversion"/>
  </si>
  <si>
    <t>비 고</t>
    <phoneticPr fontId="7" type="noConversion"/>
  </si>
  <si>
    <t>정 상 헌 금</t>
    <phoneticPr fontId="7" type="noConversion"/>
  </si>
  <si>
    <t>유치부헌금</t>
    <phoneticPr fontId="7" type="noConversion"/>
  </si>
  <si>
    <t>사례보수비</t>
    <phoneticPr fontId="7" type="noConversion"/>
  </si>
  <si>
    <t>교역자사례비</t>
    <phoneticPr fontId="7" type="noConversion"/>
  </si>
  <si>
    <t>유 초등부헌금</t>
    <phoneticPr fontId="7" type="noConversion"/>
  </si>
  <si>
    <t>직원사례비</t>
    <phoneticPr fontId="7" type="noConversion"/>
  </si>
  <si>
    <t>중고등부헌금</t>
    <phoneticPr fontId="7" type="noConversion"/>
  </si>
  <si>
    <t>지휘자보수비</t>
    <phoneticPr fontId="7" type="noConversion"/>
  </si>
  <si>
    <t>주일헌금</t>
    <phoneticPr fontId="7" type="noConversion"/>
  </si>
  <si>
    <t>소계</t>
    <phoneticPr fontId="7" type="noConversion"/>
  </si>
  <si>
    <t>십일조헌금</t>
    <phoneticPr fontId="7" type="noConversion"/>
  </si>
  <si>
    <t>목 회 운 영 비</t>
    <phoneticPr fontId="7" type="noConversion"/>
  </si>
  <si>
    <t>목회활동비</t>
    <phoneticPr fontId="7" type="noConversion"/>
  </si>
  <si>
    <t>감사헌금</t>
    <phoneticPr fontId="7" type="noConversion"/>
  </si>
  <si>
    <t>안식활동비</t>
    <phoneticPr fontId="7" type="noConversion"/>
  </si>
  <si>
    <t>에스겔헌금</t>
  </si>
  <si>
    <t>접대비</t>
    <phoneticPr fontId="7" type="noConversion"/>
  </si>
  <si>
    <t>목장헌금</t>
    <phoneticPr fontId="7" type="noConversion"/>
  </si>
  <si>
    <t>도서구입비</t>
    <phoneticPr fontId="7" type="noConversion"/>
  </si>
  <si>
    <t>판공비</t>
    <phoneticPr fontId="7" type="noConversion"/>
  </si>
  <si>
    <t>소 계</t>
    <phoneticPr fontId="7" type="noConversion"/>
  </si>
  <si>
    <t>인쇄비</t>
    <phoneticPr fontId="7" type="noConversion"/>
  </si>
  <si>
    <t>절
기
헌
금</t>
    <phoneticPr fontId="7" type="noConversion"/>
  </si>
  <si>
    <t>신년감사헌금</t>
    <phoneticPr fontId="7" type="noConversion"/>
  </si>
  <si>
    <t>세례교인헌금</t>
    <phoneticPr fontId="7" type="noConversion"/>
  </si>
  <si>
    <t>부활절감사헌금</t>
    <phoneticPr fontId="7" type="noConversion"/>
  </si>
  <si>
    <t>경조비</t>
    <phoneticPr fontId="7" type="noConversion"/>
  </si>
  <si>
    <t>맥추절감사헌금</t>
    <phoneticPr fontId="7" type="noConversion"/>
  </si>
  <si>
    <t>교육 및 강사비</t>
    <phoneticPr fontId="7" type="noConversion"/>
  </si>
  <si>
    <t>추수감사헌금</t>
    <phoneticPr fontId="7" type="noConversion"/>
  </si>
  <si>
    <t>구제비</t>
    <phoneticPr fontId="7" type="noConversion"/>
  </si>
  <si>
    <t>성탄절감사헌금</t>
    <phoneticPr fontId="7" type="noConversion"/>
  </si>
  <si>
    <t>수양(휴가)회비</t>
    <phoneticPr fontId="7" type="noConversion"/>
  </si>
  <si>
    <t>상회비</t>
    <phoneticPr fontId="7" type="noConversion"/>
  </si>
  <si>
    <t>선교장학</t>
    <phoneticPr fontId="7" type="noConversion"/>
  </si>
  <si>
    <t>선교헌금</t>
    <phoneticPr fontId="7" type="noConversion"/>
  </si>
  <si>
    <t>장학헌금</t>
    <phoneticPr fontId="7" type="noConversion"/>
  </si>
  <si>
    <t>예배비</t>
    <phoneticPr fontId="7" type="noConversion"/>
  </si>
  <si>
    <t>부흥사경회비</t>
    <phoneticPr fontId="7" type="noConversion"/>
  </si>
  <si>
    <t>엎드림헌금</t>
  </si>
  <si>
    <t>심방비</t>
    <phoneticPr fontId="7" type="noConversion"/>
  </si>
  <si>
    <t>이웃사랑헌금</t>
  </si>
  <si>
    <t>미화비</t>
    <phoneticPr fontId="7" type="noConversion"/>
  </si>
  <si>
    <t>전도헌금</t>
    <phoneticPr fontId="7" type="noConversion"/>
  </si>
  <si>
    <t>홍보영상비</t>
    <phoneticPr fontId="7" type="noConversion"/>
  </si>
  <si>
    <t>기타목적헌금</t>
    <phoneticPr fontId="7" type="noConversion"/>
  </si>
  <si>
    <t>부흥사경회헌금</t>
    <phoneticPr fontId="7" type="noConversion"/>
  </si>
  <si>
    <t>선교비</t>
    <phoneticPr fontId="7" type="noConversion"/>
  </si>
  <si>
    <t>교역자장학금</t>
    <phoneticPr fontId="7" type="noConversion"/>
  </si>
  <si>
    <t>교회사랑헌금</t>
    <phoneticPr fontId="7" type="noConversion"/>
  </si>
  <si>
    <t>장학금</t>
    <phoneticPr fontId="7" type="noConversion"/>
  </si>
  <si>
    <t>차세대헌금</t>
    <phoneticPr fontId="7" type="noConversion"/>
  </si>
  <si>
    <t>전 도 비</t>
    <phoneticPr fontId="7" type="noConversion"/>
  </si>
  <si>
    <t>미자립교회지원</t>
    <phoneticPr fontId="7" type="noConversion"/>
  </si>
  <si>
    <t>설립기념주일</t>
    <phoneticPr fontId="7" type="noConversion"/>
  </si>
  <si>
    <t>70인전도비</t>
    <phoneticPr fontId="7" type="noConversion"/>
  </si>
  <si>
    <t>기타특별헌금</t>
    <phoneticPr fontId="7" type="noConversion"/>
  </si>
  <si>
    <t>새가족양육비</t>
    <phoneticPr fontId="7" type="noConversion"/>
  </si>
  <si>
    <t>사랑의 헌금</t>
    <phoneticPr fontId="7" type="noConversion"/>
  </si>
  <si>
    <t>문서전도비</t>
    <phoneticPr fontId="7" type="noConversion"/>
  </si>
  <si>
    <t>전도행사비</t>
    <phoneticPr fontId="7" type="noConversion"/>
  </si>
  <si>
    <t>기타수익금</t>
    <phoneticPr fontId="7" type="noConversion"/>
  </si>
  <si>
    <t>선교헌금(카페)</t>
    <phoneticPr fontId="7" type="noConversion"/>
  </si>
  <si>
    <t>교 육  비</t>
    <phoneticPr fontId="7" type="noConversion"/>
  </si>
  <si>
    <t>유치부 교육비</t>
    <phoneticPr fontId="7" type="noConversion"/>
  </si>
  <si>
    <t>적금만기수입금</t>
    <phoneticPr fontId="7" type="noConversion"/>
  </si>
  <si>
    <t>유초등부 교육비</t>
    <phoneticPr fontId="7" type="noConversion"/>
  </si>
  <si>
    <t>잡수익기타</t>
    <phoneticPr fontId="7" type="noConversion"/>
  </si>
  <si>
    <t>중고등부 교육비</t>
    <phoneticPr fontId="7" type="noConversion"/>
  </si>
  <si>
    <t>교육관사택임차보증금</t>
    <phoneticPr fontId="7" type="noConversion"/>
  </si>
  <si>
    <t>교육위원회비</t>
    <phoneticPr fontId="7" type="noConversion"/>
  </si>
  <si>
    <t>임차보증금환입금</t>
    <phoneticPr fontId="7" type="noConversion"/>
  </si>
  <si>
    <t>차세대영어교육비</t>
    <phoneticPr fontId="7" type="noConversion"/>
  </si>
  <si>
    <t>환입금</t>
    <phoneticPr fontId="7" type="noConversion"/>
  </si>
  <si>
    <t>미래사역비환입금</t>
    <phoneticPr fontId="7" type="noConversion"/>
  </si>
  <si>
    <t>음
영
비</t>
    <phoneticPr fontId="7" type="noConversion"/>
  </si>
  <si>
    <t>벧엘찬양대</t>
    <phoneticPr fontId="7" type="noConversion"/>
  </si>
  <si>
    <t>일반적금환입금</t>
    <phoneticPr fontId="7" type="noConversion"/>
  </si>
  <si>
    <t>시온찬양대</t>
    <phoneticPr fontId="7" type="noConversion"/>
  </si>
  <si>
    <t>은급비환입금</t>
    <phoneticPr fontId="7" type="noConversion"/>
  </si>
  <si>
    <t>주향한찬양대</t>
    <phoneticPr fontId="7" type="noConversion"/>
  </si>
  <si>
    <t>오케스트라운영비</t>
    <phoneticPr fontId="7" type="noConversion"/>
  </si>
  <si>
    <t>솔리스트</t>
    <phoneticPr fontId="7" type="noConversion"/>
  </si>
  <si>
    <t>반주자</t>
    <phoneticPr fontId="7" type="noConversion"/>
  </si>
  <si>
    <t>음영비</t>
    <phoneticPr fontId="7" type="noConversion"/>
  </si>
  <si>
    <t>행
사
비</t>
    <phoneticPr fontId="7" type="noConversion"/>
  </si>
  <si>
    <t>행사비</t>
    <phoneticPr fontId="7" type="noConversion"/>
  </si>
  <si>
    <t>총 무 비</t>
    <phoneticPr fontId="7" type="noConversion"/>
  </si>
  <si>
    <t>비품구입비</t>
    <phoneticPr fontId="7" type="noConversion"/>
  </si>
  <si>
    <t>시설물보수비</t>
    <phoneticPr fontId="7" type="noConversion"/>
  </si>
  <si>
    <t>특별시설물보수비</t>
    <phoneticPr fontId="7" type="noConversion"/>
  </si>
  <si>
    <t>소모품비</t>
    <phoneticPr fontId="7" type="noConversion"/>
  </si>
  <si>
    <t>공공요금</t>
    <phoneticPr fontId="7" type="noConversion"/>
  </si>
  <si>
    <t>소유권이전비</t>
    <phoneticPr fontId="7" type="noConversion"/>
  </si>
  <si>
    <t>카페물품구입비</t>
    <phoneticPr fontId="7" type="noConversion"/>
  </si>
  <si>
    <t>차
량
비</t>
    <phoneticPr fontId="7" type="noConversion"/>
  </si>
  <si>
    <t>차량구입비</t>
    <phoneticPr fontId="7" type="noConversion"/>
  </si>
  <si>
    <t>차량관리비</t>
    <phoneticPr fontId="7" type="noConversion"/>
  </si>
  <si>
    <t>기 타 후 생 비</t>
    <phoneticPr fontId="7" type="noConversion"/>
  </si>
  <si>
    <t>후생비</t>
    <phoneticPr fontId="7" type="noConversion"/>
  </si>
  <si>
    <t>교역자주택지원비</t>
    <phoneticPr fontId="7" type="noConversion"/>
  </si>
  <si>
    <t>교역자자녀교육비</t>
    <phoneticPr fontId="7" type="noConversion"/>
  </si>
  <si>
    <t>교역자후생비</t>
    <phoneticPr fontId="7" type="noConversion"/>
  </si>
  <si>
    <t>사택임차보증금</t>
    <phoneticPr fontId="7" type="noConversion"/>
  </si>
  <si>
    <t>차입금이자</t>
    <phoneticPr fontId="7" type="noConversion"/>
  </si>
  <si>
    <t>화재보험료</t>
    <phoneticPr fontId="7" type="noConversion"/>
  </si>
  <si>
    <t>보험료(4대보험)</t>
    <phoneticPr fontId="7" type="noConversion"/>
  </si>
  <si>
    <t>퇴직금</t>
    <phoneticPr fontId="7" type="noConversion"/>
  </si>
  <si>
    <t>잡비청소비기타</t>
    <phoneticPr fontId="7" type="noConversion"/>
  </si>
  <si>
    <t>적 금</t>
    <phoneticPr fontId="7" type="noConversion"/>
  </si>
  <si>
    <t>총회연금</t>
    <phoneticPr fontId="7" type="noConversion"/>
  </si>
  <si>
    <t>연금</t>
    <phoneticPr fontId="7" type="noConversion"/>
  </si>
  <si>
    <t>담임목사은급비</t>
    <phoneticPr fontId="7" type="noConversion"/>
  </si>
  <si>
    <t>일반직원은급비</t>
    <phoneticPr fontId="7" type="noConversion"/>
  </si>
  <si>
    <t>일반적금</t>
    <phoneticPr fontId="7" type="noConversion"/>
  </si>
  <si>
    <t>예
비
비</t>
    <phoneticPr fontId="7" type="noConversion"/>
  </si>
  <si>
    <t>일반예비비</t>
    <phoneticPr fontId="7" type="noConversion"/>
  </si>
  <si>
    <t>미래사역비</t>
    <phoneticPr fontId="7" type="noConversion"/>
  </si>
  <si>
    <t>수입</t>
    <phoneticPr fontId="7" type="noConversion"/>
  </si>
  <si>
    <t>합계</t>
    <phoneticPr fontId="7" type="noConversion"/>
  </si>
  <si>
    <t>지출</t>
    <phoneticPr fontId="7" type="noConversion"/>
  </si>
  <si>
    <t>전기이월금</t>
    <phoneticPr fontId="7" type="noConversion"/>
  </si>
  <si>
    <t>차기이월금</t>
    <phoneticPr fontId="7" type="noConversion"/>
  </si>
  <si>
    <t>총계</t>
    <phoneticPr fontId="7" type="noConversion"/>
  </si>
  <si>
    <t>증감</t>
    <phoneticPr fontId="7" type="noConversion"/>
  </si>
  <si>
    <t>주    계    표</t>
    <phoneticPr fontId="3" type="noConversion"/>
  </si>
  <si>
    <t>위원회운영비</t>
    <phoneticPr fontId="3" type="noConversion"/>
  </si>
  <si>
    <t>결제</t>
    <phoneticPr fontId="7" type="noConversion"/>
  </si>
  <si>
    <t>재정회계</t>
    <phoneticPr fontId="7" type="noConversion"/>
  </si>
  <si>
    <t>재정부장</t>
    <phoneticPr fontId="7" type="noConversion"/>
  </si>
  <si>
    <t>당회장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</si>
</sst>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indexed="8"/>
      <name val="한컴바탕"/>
      <family val="1"/>
      <charset val="129"/>
    </font>
    <font>
      <b/>
      <sz val="12"/>
      <name val="굴림체"/>
      <family val="3"/>
      <charset val="129"/>
    </font>
    <font>
      <sz val="8"/>
      <name val="돋움"/>
      <family val="3"/>
      <charset val="129"/>
    </font>
    <font>
      <b/>
      <sz val="12"/>
      <name val="바탕"/>
      <family val="1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6"/>
      <name val="돋움"/>
      <family val="3"/>
      <charset val="129"/>
    </font>
    <font>
      <b/>
      <sz val="6"/>
      <name val="돋움"/>
      <family val="3"/>
      <charset val="129"/>
    </font>
    <font>
      <sz val="9"/>
      <name val="돋움"/>
      <family val="3"/>
      <charset val="129"/>
    </font>
    <font>
      <u val="singleAccounting"/>
      <sz val="20"/>
      <name val="HY헤드라인M"/>
      <family val="1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41" fontId="2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justify"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41" fontId="4" fillId="2" borderId="0" xfId="1" applyFont="1" applyFill="1">
      <alignment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shrinkToFit="1"/>
    </xf>
    <xf numFmtId="41" fontId="9" fillId="2" borderId="6" xfId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distributed" vertical="center" indent="1" shrinkToFit="1"/>
    </xf>
    <xf numFmtId="41" fontId="4" fillId="2" borderId="6" xfId="1" applyFont="1" applyFill="1" applyBorder="1" applyAlignment="1">
      <alignment horizontal="right" indent="1"/>
    </xf>
    <xf numFmtId="0" fontId="0" fillId="2" borderId="6" xfId="0" applyFill="1" applyBorder="1" applyAlignment="1">
      <alignment horizontal="distributed" vertical="center" indent="1"/>
    </xf>
    <xf numFmtId="41" fontId="4" fillId="2" borderId="6" xfId="1" quotePrefix="1" applyFont="1" applyFill="1" applyBorder="1" applyAlignment="1">
      <alignment horizontal="left" vertical="center" indent="1"/>
    </xf>
    <xf numFmtId="0" fontId="0" fillId="2" borderId="7" xfId="0" applyFill="1" applyBorder="1" applyAlignment="1">
      <alignment horizontal="distributed" vertical="center" indent="1"/>
    </xf>
    <xf numFmtId="0" fontId="0" fillId="3" borderId="6" xfId="0" applyFill="1" applyBorder="1" applyAlignment="1">
      <alignment horizontal="distributed" vertical="center" indent="1"/>
    </xf>
    <xf numFmtId="41" fontId="4" fillId="3" borderId="6" xfId="1" applyFont="1" applyFill="1" applyBorder="1" applyAlignment="1" applyProtection="1">
      <alignment horizontal="right" vertical="center" indent="1"/>
    </xf>
    <xf numFmtId="0" fontId="0" fillId="3" borderId="6" xfId="0" applyFill="1" applyBorder="1" applyAlignment="1">
      <alignment horizontal="distributed" vertical="center" indent="1" shrinkToFit="1"/>
    </xf>
    <xf numFmtId="41" fontId="4" fillId="3" borderId="6" xfId="1" applyFont="1" applyFill="1" applyBorder="1" applyAlignment="1" applyProtection="1">
      <alignment horizontal="right" vertical="center" indent="1"/>
      <protection locked="0"/>
    </xf>
    <xf numFmtId="0" fontId="12" fillId="2" borderId="6" xfId="0" applyFont="1" applyFill="1" applyBorder="1" applyAlignment="1">
      <alignment horizontal="distributed" vertical="center" wrapText="1" indent="1"/>
    </xf>
    <xf numFmtId="0" fontId="12" fillId="2" borderId="14" xfId="0" applyFont="1" applyFill="1" applyBorder="1" applyAlignment="1">
      <alignment horizontal="distributed" vertical="center" wrapText="1" indent="1"/>
    </xf>
    <xf numFmtId="0" fontId="0" fillId="2" borderId="14" xfId="0" applyFill="1" applyBorder="1" applyAlignment="1">
      <alignment horizontal="distributed" vertical="center" indent="1"/>
    </xf>
    <xf numFmtId="0" fontId="0" fillId="2" borderId="15" xfId="0" applyFill="1" applyBorder="1" applyAlignment="1">
      <alignment horizontal="distributed" vertical="center" indent="1"/>
    </xf>
    <xf numFmtId="0" fontId="11" fillId="2" borderId="1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distributed" vertical="center" indent="1" shrinkToFit="1"/>
    </xf>
    <xf numFmtId="41" fontId="4" fillId="2" borderId="6" xfId="1" applyFont="1" applyFill="1" applyBorder="1" applyAlignment="1">
      <alignment horizontal="right" vertical="center" indent="1"/>
    </xf>
    <xf numFmtId="0" fontId="11" fillId="2" borderId="14" xfId="0" applyFont="1" applyFill="1" applyBorder="1" applyAlignment="1">
      <alignment horizontal="distributed" vertical="center" indent="1"/>
    </xf>
    <xf numFmtId="0" fontId="0" fillId="3" borderId="15" xfId="0" applyFill="1" applyBorder="1" applyAlignment="1">
      <alignment horizontal="distributed" vertical="center" indent="1"/>
    </xf>
    <xf numFmtId="0" fontId="0" fillId="2" borderId="15" xfId="0" applyFill="1" applyBorder="1" applyAlignment="1">
      <alignment horizontal="distributed" vertical="center" indent="1" shrinkToFit="1"/>
    </xf>
    <xf numFmtId="0" fontId="7" fillId="2" borderId="15" xfId="0" applyFont="1" applyFill="1" applyBorder="1" applyAlignment="1">
      <alignment horizontal="distributed" vertical="center" indent="1"/>
    </xf>
    <xf numFmtId="0" fontId="10" fillId="2" borderId="15" xfId="0" applyFont="1" applyFill="1" applyBorder="1" applyAlignment="1">
      <alignment horizontal="distributed" vertical="center" indent="1" shrinkToFit="1"/>
    </xf>
    <xf numFmtId="0" fontId="7" fillId="2" borderId="6" xfId="0" applyFont="1" applyFill="1" applyBorder="1" applyAlignment="1">
      <alignment horizontal="distributed" vertical="center" indent="1"/>
    </xf>
    <xf numFmtId="0" fontId="0" fillId="2" borderId="16" xfId="0" applyFill="1" applyBorder="1" applyAlignment="1">
      <alignment horizontal="distributed" vertical="center" indent="1"/>
    </xf>
    <xf numFmtId="0" fontId="0" fillId="3" borderId="16" xfId="0" applyFill="1" applyBorder="1" applyAlignment="1">
      <alignment horizontal="distributed" vertical="center" indent="1"/>
    </xf>
    <xf numFmtId="41" fontId="4" fillId="3" borderId="16" xfId="1" applyFont="1" applyFill="1" applyBorder="1" applyAlignment="1" applyProtection="1">
      <alignment horizontal="right" vertical="center" indent="1"/>
      <protection locked="0"/>
    </xf>
    <xf numFmtId="0" fontId="0" fillId="2" borderId="18" xfId="0" applyFill="1" applyBorder="1" applyAlignment="1">
      <alignment horizontal="distributed" vertical="center" indent="1"/>
    </xf>
    <xf numFmtId="0" fontId="7" fillId="2" borderId="6" xfId="0" applyFont="1" applyFill="1" applyBorder="1" applyAlignment="1">
      <alignment horizontal="distributed" vertical="center" indent="1" shrinkToFit="1"/>
    </xf>
    <xf numFmtId="0" fontId="0" fillId="2" borderId="10" xfId="0" applyFill="1" applyBorder="1" applyAlignment="1">
      <alignment horizontal="center" vertical="center"/>
    </xf>
    <xf numFmtId="41" fontId="4" fillId="2" borderId="6" xfId="1" applyFont="1" applyFill="1" applyBorder="1" applyAlignment="1">
      <alignment horizontal="distributed" vertical="center" indent="1"/>
    </xf>
    <xf numFmtId="0" fontId="13" fillId="2" borderId="7" xfId="0" applyFont="1" applyFill="1" applyBorder="1" applyAlignment="1">
      <alignment horizontal="left" vertical="center" indent="1"/>
    </xf>
    <xf numFmtId="0" fontId="13" fillId="2" borderId="15" xfId="0" applyFont="1" applyFill="1" applyBorder="1" applyAlignment="1">
      <alignment horizontal="distributed" vertical="center" indent="1"/>
    </xf>
    <xf numFmtId="0" fontId="10" fillId="2" borderId="7" xfId="0" applyFont="1" applyFill="1" applyBorder="1" applyAlignment="1">
      <alignment horizontal="distributed" vertical="center" indent="1"/>
    </xf>
    <xf numFmtId="41" fontId="4" fillId="3" borderId="6" xfId="1" applyFont="1" applyFill="1" applyBorder="1" applyAlignment="1" applyProtection="1">
      <alignment horizontal="center" vertical="center"/>
      <protection locked="0"/>
    </xf>
    <xf numFmtId="0" fontId="10" fillId="2" borderId="15" xfId="0" applyFont="1" applyFill="1" applyBorder="1" applyAlignment="1">
      <alignment horizontal="distributed" vertical="center" indent="1"/>
    </xf>
    <xf numFmtId="0" fontId="13" fillId="2" borderId="7" xfId="0" quotePrefix="1" applyFont="1" applyFill="1" applyBorder="1" applyAlignment="1">
      <alignment horizontal="distributed" vertical="center" indent="1"/>
    </xf>
    <xf numFmtId="0" fontId="0" fillId="2" borderId="19" xfId="0" applyFill="1" applyBorder="1" applyAlignment="1">
      <alignment horizontal="distributed" vertical="center" indent="1"/>
    </xf>
    <xf numFmtId="41" fontId="10" fillId="2" borderId="6" xfId="1" applyFont="1" applyFill="1" applyBorder="1" applyAlignment="1">
      <alignment horizontal="distributed" vertical="center" indent="1"/>
    </xf>
    <xf numFmtId="0" fontId="0" fillId="2" borderId="13" xfId="0" applyFill="1" applyBorder="1" applyAlignment="1">
      <alignment horizontal="center" vertical="center"/>
    </xf>
    <xf numFmtId="41" fontId="4" fillId="2" borderId="6" xfId="1" applyFont="1" applyFill="1" applyBorder="1" applyAlignment="1" applyProtection="1">
      <alignment vertical="center"/>
      <protection locked="0"/>
    </xf>
    <xf numFmtId="41" fontId="4" fillId="2" borderId="6" xfId="1" applyFont="1" applyFill="1" applyBorder="1" applyAlignment="1" applyProtection="1">
      <alignment horizontal="right" vertical="center" indent="1"/>
      <protection locked="0"/>
    </xf>
    <xf numFmtId="41" fontId="4" fillId="2" borderId="16" xfId="1" applyFont="1" applyFill="1" applyBorder="1" applyAlignment="1" applyProtection="1">
      <alignment vertical="center"/>
      <protection locked="0"/>
    </xf>
    <xf numFmtId="41" fontId="4" fillId="2" borderId="16" xfId="1" applyFont="1" applyFill="1" applyBorder="1" applyAlignment="1" applyProtection="1">
      <alignment horizontal="right" vertical="center" indent="1"/>
      <protection locked="0"/>
    </xf>
    <xf numFmtId="0" fontId="0" fillId="2" borderId="21" xfId="0" applyFill="1" applyBorder="1">
      <alignment vertical="center"/>
    </xf>
    <xf numFmtId="0" fontId="0" fillId="2" borderId="1" xfId="0" applyFill="1" applyBorder="1">
      <alignment vertical="center"/>
    </xf>
    <xf numFmtId="41" fontId="4" fillId="2" borderId="1" xfId="1" applyFont="1" applyFill="1" applyBorder="1">
      <alignment vertical="center"/>
    </xf>
    <xf numFmtId="0" fontId="0" fillId="2" borderId="22" xfId="0" applyFill="1" applyBorder="1" applyAlignment="1">
      <alignment horizontal="distributed" vertical="center" indent="1"/>
    </xf>
    <xf numFmtId="41" fontId="4" fillId="2" borderId="22" xfId="1" applyFont="1" applyFill="1" applyBorder="1" applyProtection="1">
      <alignment vertical="center"/>
      <protection locked="0"/>
    </xf>
    <xf numFmtId="0" fontId="0" fillId="2" borderId="22" xfId="0" applyFill="1" applyBorder="1">
      <alignment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13" fillId="2" borderId="12" xfId="0" applyFont="1" applyFill="1" applyBorder="1" applyAlignment="1">
      <alignment horizontal="distributed" vertical="center" indent="1" shrinkToFit="1"/>
    </xf>
    <xf numFmtId="41" fontId="4" fillId="2" borderId="12" xfId="1" applyFont="1" applyFill="1" applyBorder="1" applyAlignment="1">
      <alignment horizontal="right" indent="1"/>
    </xf>
    <xf numFmtId="0" fontId="0" fillId="2" borderId="12" xfId="0" applyFill="1" applyBorder="1" applyAlignment="1">
      <alignment horizontal="distributed" vertical="center" indent="1"/>
    </xf>
    <xf numFmtId="41" fontId="4" fillId="2" borderId="12" xfId="1" quotePrefix="1" applyFont="1" applyFill="1" applyBorder="1" applyAlignment="1">
      <alignment horizontal="left" vertical="center" indent="1"/>
    </xf>
    <xf numFmtId="0" fontId="0" fillId="2" borderId="24" xfId="0" applyFill="1" applyBorder="1" applyAlignment="1">
      <alignment horizontal="distributed" vertical="center" indent="1"/>
    </xf>
    <xf numFmtId="0" fontId="0" fillId="3" borderId="25" xfId="0" applyFill="1" applyBorder="1" applyAlignment="1">
      <alignment horizontal="distributed" vertical="center" indent="1" shrinkToFit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21" xfId="0" applyBorder="1">
      <alignment vertical="center"/>
    </xf>
    <xf numFmtId="0" fontId="0" fillId="0" borderId="1" xfId="0" applyBorder="1">
      <alignment vertical="center"/>
    </xf>
    <xf numFmtId="0" fontId="0" fillId="0" borderId="31" xfId="0" applyBorder="1">
      <alignment vertical="center"/>
    </xf>
    <xf numFmtId="0" fontId="9" fillId="2" borderId="8" xfId="0" applyFont="1" applyFill="1" applyBorder="1" applyAlignment="1">
      <alignment horizontal="center" vertical="center" textRotation="255"/>
    </xf>
    <xf numFmtId="0" fontId="9" fillId="2" borderId="10" xfId="0" applyFont="1" applyFill="1" applyBorder="1" applyAlignment="1">
      <alignment horizontal="center" vertical="center" textRotation="255"/>
    </xf>
    <xf numFmtId="0" fontId="9" fillId="2" borderId="20" xfId="0" applyFont="1" applyFill="1" applyBorder="1" applyAlignment="1">
      <alignment horizontal="center" vertical="center" textRotation="255"/>
    </xf>
    <xf numFmtId="0" fontId="9" fillId="2" borderId="9" xfId="0" applyFont="1" applyFill="1" applyBorder="1" applyAlignment="1">
      <alignment horizontal="center" vertical="center" textRotation="255" wrapText="1"/>
    </xf>
    <xf numFmtId="0" fontId="9" fillId="2" borderId="11" xfId="0" applyFont="1" applyFill="1" applyBorder="1" applyAlignment="1">
      <alignment horizontal="center" vertical="center" textRotation="255" wrapText="1"/>
    </xf>
    <xf numFmtId="0" fontId="9" fillId="2" borderId="17" xfId="0" applyFont="1" applyFill="1" applyBorder="1" applyAlignment="1">
      <alignment horizontal="center" vertical="center" textRotation="255" wrapText="1"/>
    </xf>
    <xf numFmtId="41" fontId="14" fillId="2" borderId="0" xfId="1" applyFont="1" applyFill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textRotation="255" wrapText="1"/>
    </xf>
    <xf numFmtId="0" fontId="0" fillId="2" borderId="11" xfId="0" applyFill="1" applyBorder="1" applyAlignment="1">
      <alignment horizontal="center" vertical="center" textRotation="255" wrapText="1"/>
    </xf>
    <xf numFmtId="0" fontId="0" fillId="2" borderId="12" xfId="0" applyFill="1" applyBorder="1" applyAlignment="1">
      <alignment horizontal="center" vertical="center" textRotation="255" wrapText="1"/>
    </xf>
    <xf numFmtId="0" fontId="0" fillId="2" borderId="9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textRotation="255" wrapText="1"/>
    </xf>
    <xf numFmtId="0" fontId="11" fillId="2" borderId="11" xfId="0" applyFont="1" applyFill="1" applyBorder="1" applyAlignment="1">
      <alignment horizontal="center" vertical="center" textRotation="255" wrapText="1"/>
    </xf>
    <xf numFmtId="0" fontId="0" fillId="2" borderId="5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textRotation="255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textRotation="255" justifyLastLine="1"/>
    </xf>
    <xf numFmtId="0" fontId="10" fillId="2" borderId="11" xfId="0" applyFont="1" applyFill="1" applyBorder="1" applyAlignment="1">
      <alignment horizontal="center" vertical="center" textRotation="255" justifyLastLine="1"/>
    </xf>
    <xf numFmtId="0" fontId="10" fillId="2" borderId="12" xfId="0" applyFont="1" applyFill="1" applyBorder="1" applyAlignment="1">
      <alignment horizontal="center" vertical="center" textRotation="255" justifyLastLine="1"/>
    </xf>
    <xf numFmtId="49" fontId="0" fillId="2" borderId="9" xfId="0" applyNumberFormat="1" applyFill="1" applyBorder="1" applyAlignment="1">
      <alignment horizontal="center" vertical="center" textRotation="255" wrapText="1"/>
    </xf>
    <xf numFmtId="49" fontId="0" fillId="2" borderId="11" xfId="0" applyNumberFormat="1" applyFill="1" applyBorder="1" applyAlignment="1">
      <alignment horizontal="center" vertical="center" textRotation="255" wrapText="1"/>
    </xf>
    <xf numFmtId="49" fontId="0" fillId="2" borderId="12" xfId="0" applyNumberFormat="1" applyFill="1" applyBorder="1" applyAlignment="1">
      <alignment horizontal="center" vertical="center" textRotation="255" wrapText="1"/>
    </xf>
    <xf numFmtId="0" fontId="10" fillId="2" borderId="8" xfId="0" applyFont="1" applyFill="1" applyBorder="1" applyAlignment="1">
      <alignment horizontal="center" vertical="center" textRotation="255" wrapText="1"/>
    </xf>
    <xf numFmtId="0" fontId="10" fillId="2" borderId="10" xfId="0" applyFont="1" applyFill="1" applyBorder="1" applyAlignment="1">
      <alignment horizontal="center" vertical="center" textRotation="255" wrapText="1"/>
    </xf>
    <xf numFmtId="0" fontId="10" fillId="2" borderId="13" xfId="0" applyFont="1" applyFill="1" applyBorder="1" applyAlignment="1">
      <alignment horizontal="center" vertical="center" textRotation="255" wrapText="1"/>
    </xf>
    <xf numFmtId="0" fontId="2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996950</xdr:colOff>
          <xdr:row>2</xdr:row>
          <xdr:rowOff>84719</xdr:rowOff>
        </xdr:from>
        <xdr:to>
          <xdr:col>7</xdr:col>
          <xdr:colOff>127000</xdr:colOff>
          <xdr:row>5</xdr:row>
          <xdr:rowOff>57149</xdr:rowOff>
        </xdr:to>
        <xdr:pic>
          <xdr:nvPicPr>
            <xdr:cNvPr id="10" name="그림 9">
              <a:extLst>
                <a:ext uri="{FF2B5EF4-FFF2-40B4-BE49-F238E27FC236}">
                  <a16:creationId xmlns:a16="http://schemas.microsoft.com/office/drawing/2014/main" id="{6D9C2A9B-713F-03E9-ABAA-EF230C82CC4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L$11:$O$14" spid="_x0000_s10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140325" y="541919"/>
              <a:ext cx="2232025" cy="74395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D4B0-B843-42A0-AAD7-F238C61AA201}">
  <sheetPr>
    <pageSetUpPr fitToPage="1"/>
  </sheetPr>
  <dimension ref="A1:P98"/>
  <sheetViews>
    <sheetView tabSelected="1" topLeftCell="A53" workbookViewId="0">
      <selection activeCell="M64" sqref="M64"/>
    </sheetView>
  </sheetViews>
  <sheetFormatPr defaultRowHeight="17"/>
  <cols>
    <col min="1" max="1" width="3.75" customWidth="1"/>
    <col min="2" max="2" width="23.5" customWidth="1"/>
    <col min="3" max="3" width="18.5" customWidth="1"/>
    <col min="4" max="4" width="7.83203125" customWidth="1"/>
    <col min="5" max="5" width="4.08203125" customWidth="1"/>
    <col min="6" max="6" width="21.33203125" customWidth="1"/>
    <col min="7" max="7" width="19.25" customWidth="1"/>
    <col min="8" max="8" width="7.58203125" customWidth="1"/>
    <col min="11" max="11" width="3.75" customWidth="1"/>
    <col min="16" max="16" width="3.1640625" customWidth="1"/>
  </cols>
  <sheetData>
    <row r="1" spans="1:16" ht="7.5" hidden="1" customHeight="1">
      <c r="A1" s="116"/>
      <c r="B1" s="116"/>
      <c r="C1" s="116"/>
      <c r="D1" s="116"/>
      <c r="E1" s="116"/>
      <c r="F1" s="116"/>
      <c r="G1" s="116"/>
      <c r="H1" s="116"/>
    </row>
    <row r="2" spans="1:16" ht="28.5" customHeight="1">
      <c r="A2" s="1"/>
      <c r="B2" s="1"/>
      <c r="C2" s="85" t="s">
        <v>134</v>
      </c>
      <c r="D2" s="85"/>
      <c r="E2" s="85"/>
      <c r="F2" s="85"/>
      <c r="G2" s="4"/>
      <c r="H2" s="4"/>
    </row>
    <row r="3" spans="1:16" ht="9.75" customHeight="1">
      <c r="A3" s="1"/>
      <c r="B3" s="1"/>
      <c r="C3" s="2"/>
      <c r="D3" s="3"/>
      <c r="E3" s="1"/>
      <c r="F3" s="116"/>
      <c r="G3" s="116"/>
      <c r="H3" s="116"/>
    </row>
    <row r="4" spans="1:16" ht="19.5" customHeight="1">
      <c r="A4" s="1"/>
      <c r="B4" s="1"/>
      <c r="C4" s="2"/>
      <c r="D4" s="1"/>
      <c r="E4" s="1"/>
      <c r="F4" s="116"/>
      <c r="G4" s="116"/>
      <c r="H4" s="116"/>
    </row>
    <row r="5" spans="1:16" ht="31.5" customHeight="1">
      <c r="A5" s="5"/>
      <c r="B5" s="5"/>
      <c r="C5" s="6"/>
      <c r="D5" s="5"/>
      <c r="E5" s="7"/>
      <c r="F5" s="116"/>
      <c r="G5" s="116"/>
      <c r="H5" s="116"/>
    </row>
    <row r="6" spans="1:16" ht="7.5" customHeight="1">
      <c r="A6" s="5"/>
      <c r="B6" s="5"/>
      <c r="C6" s="6"/>
      <c r="D6" s="5"/>
      <c r="E6" s="7"/>
      <c r="F6" s="116"/>
      <c r="G6" s="116"/>
      <c r="H6" s="116"/>
    </row>
    <row r="7" spans="1:16" ht="7.5" customHeight="1">
      <c r="A7" s="64"/>
      <c r="B7" s="64"/>
      <c r="C7" s="64"/>
      <c r="D7" s="64"/>
      <c r="E7" s="64"/>
      <c r="F7" s="116"/>
      <c r="G7" s="116"/>
      <c r="H7" s="116"/>
    </row>
    <row r="8" spans="1:16" ht="3" customHeight="1">
      <c r="A8" s="8"/>
      <c r="B8" s="8"/>
      <c r="C8" s="8"/>
      <c r="D8" s="8"/>
      <c r="E8" s="8"/>
      <c r="F8" s="116"/>
      <c r="G8" s="116"/>
      <c r="H8" s="116"/>
    </row>
    <row r="9" spans="1:16" ht="17.5" thickBot="1">
      <c r="A9" s="117" t="s">
        <v>0</v>
      </c>
      <c r="B9" s="117"/>
      <c r="C9" s="117"/>
      <c r="D9" s="117"/>
      <c r="E9" s="117"/>
      <c r="F9" s="118" t="s">
        <v>1</v>
      </c>
      <c r="G9" s="118"/>
      <c r="H9" s="118"/>
    </row>
    <row r="10" spans="1:16" ht="17.5" thickBot="1">
      <c r="A10" s="119" t="s">
        <v>2</v>
      </c>
      <c r="B10" s="120"/>
      <c r="C10" s="120"/>
      <c r="D10" s="120"/>
      <c r="E10" s="120" t="s">
        <v>3</v>
      </c>
      <c r="F10" s="120"/>
      <c r="G10" s="120"/>
      <c r="H10" s="121"/>
      <c r="K10" s="71"/>
      <c r="L10" s="72"/>
      <c r="M10" s="72"/>
      <c r="N10" s="72"/>
      <c r="O10" s="72"/>
      <c r="P10" s="73"/>
    </row>
    <row r="11" spans="1:16">
      <c r="A11" s="9" t="s">
        <v>4</v>
      </c>
      <c r="B11" s="10" t="s">
        <v>5</v>
      </c>
      <c r="C11" s="11" t="s">
        <v>6</v>
      </c>
      <c r="D11" s="12" t="s">
        <v>7</v>
      </c>
      <c r="E11" s="12" t="s">
        <v>4</v>
      </c>
      <c r="F11" s="12" t="s">
        <v>5</v>
      </c>
      <c r="G11" s="11" t="s">
        <v>6</v>
      </c>
      <c r="H11" s="13" t="s">
        <v>8</v>
      </c>
      <c r="K11" s="74"/>
      <c r="L11" s="122" t="s">
        <v>136</v>
      </c>
      <c r="M11" s="62" t="s">
        <v>137</v>
      </c>
      <c r="N11" s="62" t="s">
        <v>138</v>
      </c>
      <c r="O11" s="63" t="s">
        <v>139</v>
      </c>
      <c r="P11" s="75"/>
    </row>
    <row r="12" spans="1:16">
      <c r="A12" s="97" t="s">
        <v>9</v>
      </c>
      <c r="B12" s="14" t="s">
        <v>10</v>
      </c>
      <c r="C12" s="15"/>
      <c r="D12" s="16"/>
      <c r="E12" s="107" t="s">
        <v>11</v>
      </c>
      <c r="F12" s="16" t="s">
        <v>12</v>
      </c>
      <c r="G12" s="17"/>
      <c r="H12" s="18"/>
      <c r="K12" s="74"/>
      <c r="L12" s="123"/>
      <c r="M12" s="125"/>
      <c r="N12" s="125"/>
      <c r="O12" s="127"/>
      <c r="P12" s="75"/>
    </row>
    <row r="13" spans="1:16">
      <c r="A13" s="98"/>
      <c r="B13" s="14" t="s">
        <v>13</v>
      </c>
      <c r="C13" s="15"/>
      <c r="D13" s="16"/>
      <c r="E13" s="108"/>
      <c r="F13" s="16" t="s">
        <v>14</v>
      </c>
      <c r="G13" s="17"/>
      <c r="H13" s="18"/>
      <c r="K13" s="74"/>
      <c r="L13" s="123"/>
      <c r="M13" s="125"/>
      <c r="N13" s="125"/>
      <c r="O13" s="127"/>
      <c r="P13" s="75"/>
    </row>
    <row r="14" spans="1:16" ht="17.5" thickBot="1">
      <c r="A14" s="98"/>
      <c r="B14" s="14" t="s">
        <v>15</v>
      </c>
      <c r="C14" s="15"/>
      <c r="D14" s="16"/>
      <c r="E14" s="108"/>
      <c r="F14" s="16" t="s">
        <v>16</v>
      </c>
      <c r="G14" s="17"/>
      <c r="H14" s="18"/>
      <c r="K14" s="74"/>
      <c r="L14" s="124"/>
      <c r="M14" s="126"/>
      <c r="N14" s="126"/>
      <c r="O14" s="128"/>
      <c r="P14" s="75"/>
    </row>
    <row r="15" spans="1:16" ht="17.5" thickBot="1">
      <c r="A15" s="98"/>
      <c r="B15" s="14" t="s">
        <v>17</v>
      </c>
      <c r="C15" s="15"/>
      <c r="D15" s="16"/>
      <c r="E15" s="109"/>
      <c r="F15" s="19" t="s">
        <v>18</v>
      </c>
      <c r="G15" s="20">
        <f>SUM(G12:G14)</f>
        <v>0</v>
      </c>
      <c r="H15" s="18"/>
      <c r="K15" s="76"/>
      <c r="L15" s="77"/>
      <c r="M15" s="77"/>
      <c r="N15" s="77"/>
      <c r="O15" s="77"/>
      <c r="P15" s="78"/>
    </row>
    <row r="16" spans="1:16">
      <c r="A16" s="98"/>
      <c r="B16" s="14" t="s">
        <v>19</v>
      </c>
      <c r="C16" s="15"/>
      <c r="D16" s="16"/>
      <c r="E16" s="110" t="s">
        <v>20</v>
      </c>
      <c r="F16" s="16" t="s">
        <v>21</v>
      </c>
      <c r="G16" s="17"/>
      <c r="H16" s="18"/>
    </row>
    <row r="17" spans="1:8">
      <c r="A17" s="98"/>
      <c r="B17" s="14" t="s">
        <v>22</v>
      </c>
      <c r="C17" s="15"/>
      <c r="D17" s="16"/>
      <c r="E17" s="111"/>
      <c r="F17" s="16" t="s">
        <v>23</v>
      </c>
      <c r="G17" s="17"/>
      <c r="H17" s="18"/>
    </row>
    <row r="18" spans="1:8">
      <c r="A18" s="98"/>
      <c r="B18" s="14" t="s">
        <v>24</v>
      </c>
      <c r="C18" s="15"/>
      <c r="D18" s="16"/>
      <c r="E18" s="111"/>
      <c r="F18" s="16" t="s">
        <v>25</v>
      </c>
      <c r="G18" s="17"/>
      <c r="H18" s="18"/>
    </row>
    <row r="19" spans="1:8">
      <c r="A19" s="98"/>
      <c r="B19" s="14" t="s">
        <v>26</v>
      </c>
      <c r="C19" s="15"/>
      <c r="D19" s="16"/>
      <c r="E19" s="111"/>
      <c r="F19" s="16" t="s">
        <v>27</v>
      </c>
      <c r="G19" s="17"/>
      <c r="H19" s="18"/>
    </row>
    <row r="20" spans="1:8">
      <c r="A20" s="98"/>
      <c r="B20" s="14"/>
      <c r="C20" s="15"/>
      <c r="D20" s="16"/>
      <c r="E20" s="111"/>
      <c r="F20" s="16" t="s">
        <v>28</v>
      </c>
      <c r="G20" s="17"/>
      <c r="H20" s="18"/>
    </row>
    <row r="21" spans="1:8">
      <c r="A21" s="99"/>
      <c r="B21" s="21" t="s">
        <v>29</v>
      </c>
      <c r="C21" s="22">
        <f>SUM(C12:C19)</f>
        <v>0</v>
      </c>
      <c r="D21" s="16"/>
      <c r="E21" s="111"/>
      <c r="F21" s="16" t="s">
        <v>30</v>
      </c>
      <c r="G21" s="17"/>
      <c r="H21" s="18"/>
    </row>
    <row r="22" spans="1:8">
      <c r="A22" s="97" t="s">
        <v>31</v>
      </c>
      <c r="B22" s="14" t="s">
        <v>32</v>
      </c>
      <c r="C22" s="15"/>
      <c r="D22" s="16"/>
      <c r="E22" s="111"/>
      <c r="F22" s="16" t="s">
        <v>33</v>
      </c>
      <c r="G22" s="17"/>
      <c r="H22" s="18"/>
    </row>
    <row r="23" spans="1:8">
      <c r="A23" s="98"/>
      <c r="B23" s="14" t="s">
        <v>34</v>
      </c>
      <c r="C23" s="15"/>
      <c r="D23" s="16"/>
      <c r="E23" s="111"/>
      <c r="F23" s="16" t="s">
        <v>35</v>
      </c>
      <c r="G23" s="17"/>
      <c r="H23" s="18"/>
    </row>
    <row r="24" spans="1:8">
      <c r="A24" s="98"/>
      <c r="B24" s="14" t="s">
        <v>36</v>
      </c>
      <c r="C24" s="15"/>
      <c r="D24" s="16"/>
      <c r="E24" s="111"/>
      <c r="F24" s="16" t="s">
        <v>37</v>
      </c>
      <c r="G24" s="17"/>
      <c r="H24" s="18"/>
    </row>
    <row r="25" spans="1:8">
      <c r="A25" s="98"/>
      <c r="B25" s="14" t="s">
        <v>38</v>
      </c>
      <c r="C25" s="15"/>
      <c r="D25" s="16"/>
      <c r="E25" s="111"/>
      <c r="F25" s="16" t="s">
        <v>39</v>
      </c>
      <c r="G25" s="17"/>
      <c r="H25" s="18"/>
    </row>
    <row r="26" spans="1:8">
      <c r="A26" s="98"/>
      <c r="B26" s="14" t="s">
        <v>40</v>
      </c>
      <c r="C26" s="15"/>
      <c r="D26" s="16"/>
      <c r="E26" s="111"/>
      <c r="F26" s="16" t="s">
        <v>41</v>
      </c>
      <c r="G26" s="17"/>
      <c r="H26" s="18"/>
    </row>
    <row r="27" spans="1:8">
      <c r="A27" s="99"/>
      <c r="B27" s="21" t="s">
        <v>18</v>
      </c>
      <c r="C27" s="22">
        <f>SUM(C22:C26)</f>
        <v>0</v>
      </c>
      <c r="D27" s="16"/>
      <c r="E27" s="111"/>
      <c r="F27" s="16" t="s">
        <v>42</v>
      </c>
      <c r="G27" s="17"/>
      <c r="H27" s="18"/>
    </row>
    <row r="28" spans="1:8">
      <c r="A28" s="113" t="s">
        <v>43</v>
      </c>
      <c r="B28" s="14" t="s">
        <v>44</v>
      </c>
      <c r="C28" s="15"/>
      <c r="D28" s="16"/>
      <c r="E28" s="112"/>
      <c r="F28" s="19" t="s">
        <v>18</v>
      </c>
      <c r="G28" s="22">
        <f>SUM(G16:G27)</f>
        <v>0</v>
      </c>
      <c r="H28" s="18"/>
    </row>
    <row r="29" spans="1:8">
      <c r="A29" s="114"/>
      <c r="B29" s="14" t="s">
        <v>45</v>
      </c>
      <c r="C29" s="15"/>
      <c r="D29" s="16"/>
      <c r="E29" s="88" t="s">
        <v>46</v>
      </c>
      <c r="F29" s="16" t="s">
        <v>47</v>
      </c>
      <c r="G29" s="17"/>
      <c r="H29" s="18"/>
    </row>
    <row r="30" spans="1:8">
      <c r="A30" s="114"/>
      <c r="B30" s="14" t="s">
        <v>48</v>
      </c>
      <c r="C30" s="15"/>
      <c r="D30" s="16"/>
      <c r="E30" s="89"/>
      <c r="F30" s="16" t="s">
        <v>49</v>
      </c>
      <c r="G30" s="17"/>
      <c r="H30" s="18"/>
    </row>
    <row r="31" spans="1:8">
      <c r="A31" s="114"/>
      <c r="B31" s="14" t="s">
        <v>50</v>
      </c>
      <c r="C31" s="15"/>
      <c r="D31" s="16"/>
      <c r="E31" s="89"/>
      <c r="F31" s="16" t="s">
        <v>51</v>
      </c>
      <c r="G31" s="17"/>
      <c r="H31" s="18"/>
    </row>
    <row r="32" spans="1:8">
      <c r="A32" s="114"/>
      <c r="B32" s="14" t="s">
        <v>52</v>
      </c>
      <c r="C32" s="15"/>
      <c r="D32" s="16"/>
      <c r="E32" s="89"/>
      <c r="F32" s="16" t="s">
        <v>53</v>
      </c>
      <c r="G32" s="17"/>
      <c r="H32" s="18"/>
    </row>
    <row r="33" spans="1:8">
      <c r="A33" s="115"/>
      <c r="B33" s="21" t="s">
        <v>18</v>
      </c>
      <c r="C33" s="22">
        <f>SUM(C28:C32)</f>
        <v>0</v>
      </c>
      <c r="D33" s="16"/>
      <c r="E33" s="89"/>
      <c r="F33" s="19" t="s">
        <v>18</v>
      </c>
      <c r="G33" s="22">
        <f>SUM(G29:G32)</f>
        <v>0</v>
      </c>
      <c r="H33" s="18"/>
    </row>
    <row r="34" spans="1:8">
      <c r="A34" s="97" t="s">
        <v>54</v>
      </c>
      <c r="B34" s="14" t="s">
        <v>55</v>
      </c>
      <c r="C34" s="15"/>
      <c r="D34" s="16"/>
      <c r="E34" s="100" t="s">
        <v>43</v>
      </c>
      <c r="F34" s="14" t="s">
        <v>56</v>
      </c>
      <c r="G34" s="17"/>
      <c r="H34" s="18"/>
    </row>
    <row r="35" spans="1:8">
      <c r="A35" s="98"/>
      <c r="B35" s="14" t="s">
        <v>33</v>
      </c>
      <c r="C35" s="15"/>
      <c r="D35" s="16"/>
      <c r="E35" s="101"/>
      <c r="F35" s="14" t="s">
        <v>57</v>
      </c>
      <c r="G35" s="17"/>
      <c r="H35" s="18"/>
    </row>
    <row r="36" spans="1:8">
      <c r="A36" s="98"/>
      <c r="B36" s="14" t="s">
        <v>58</v>
      </c>
      <c r="C36" s="15"/>
      <c r="D36" s="23"/>
      <c r="E36" s="101"/>
      <c r="F36" s="16" t="s">
        <v>59</v>
      </c>
      <c r="G36" s="17"/>
      <c r="H36" s="18"/>
    </row>
    <row r="37" spans="1:8">
      <c r="A37" s="98"/>
      <c r="B37" s="14" t="s">
        <v>60</v>
      </c>
      <c r="C37" s="15"/>
      <c r="D37" s="24"/>
      <c r="E37" s="101"/>
      <c r="F37" s="21" t="s">
        <v>18</v>
      </c>
      <c r="G37" s="22">
        <f>SUM(G34:G36)</f>
        <v>0</v>
      </c>
      <c r="H37" s="18"/>
    </row>
    <row r="38" spans="1:8">
      <c r="A38" s="98"/>
      <c r="B38" s="14" t="s">
        <v>63</v>
      </c>
      <c r="C38" s="15"/>
      <c r="D38" s="25"/>
      <c r="E38" s="88" t="s">
        <v>61</v>
      </c>
      <c r="F38" s="26" t="s">
        <v>62</v>
      </c>
      <c r="G38" s="17"/>
      <c r="H38" s="18"/>
    </row>
    <row r="39" spans="1:8">
      <c r="A39" s="98"/>
      <c r="B39" s="28" t="s">
        <v>65</v>
      </c>
      <c r="C39" s="15"/>
      <c r="D39" s="27"/>
      <c r="E39" s="89"/>
      <c r="F39" s="26" t="s">
        <v>64</v>
      </c>
      <c r="G39" s="17"/>
      <c r="H39" s="18"/>
    </row>
    <row r="40" spans="1:8">
      <c r="A40" s="98"/>
      <c r="B40" s="14" t="s">
        <v>67</v>
      </c>
      <c r="C40" s="15"/>
      <c r="D40" s="25"/>
      <c r="E40" s="89"/>
      <c r="F40" s="26" t="s">
        <v>66</v>
      </c>
      <c r="G40" s="17"/>
      <c r="H40" s="18"/>
    </row>
    <row r="41" spans="1:8">
      <c r="A41" s="98"/>
      <c r="B41" s="29"/>
      <c r="D41" s="25"/>
      <c r="E41" s="89"/>
      <c r="F41" s="26" t="s">
        <v>68</v>
      </c>
      <c r="G41" s="17"/>
      <c r="H41" s="18"/>
    </row>
    <row r="42" spans="1:8">
      <c r="A42" s="98"/>
      <c r="B42" s="29"/>
      <c r="C42" s="15"/>
      <c r="D42" s="25"/>
      <c r="E42" s="89"/>
      <c r="F42" s="26" t="s">
        <v>69</v>
      </c>
      <c r="G42" s="17"/>
      <c r="H42" s="18"/>
    </row>
    <row r="43" spans="1:8">
      <c r="A43" s="99"/>
      <c r="B43" s="21" t="s">
        <v>18</v>
      </c>
      <c r="C43" s="22">
        <f>SUM(C34:C42)</f>
        <v>0</v>
      </c>
      <c r="D43" s="30"/>
      <c r="E43" s="90"/>
      <c r="F43" s="31" t="s">
        <v>18</v>
      </c>
      <c r="G43" s="22">
        <f>SUM(G38:G42)</f>
        <v>0</v>
      </c>
      <c r="H43" s="18"/>
    </row>
    <row r="44" spans="1:8">
      <c r="A44" s="102" t="s">
        <v>70</v>
      </c>
      <c r="B44" s="32" t="s">
        <v>71</v>
      </c>
      <c r="C44" s="15"/>
      <c r="D44" s="25"/>
      <c r="E44" s="88" t="s">
        <v>72</v>
      </c>
      <c r="F44" s="16" t="s">
        <v>73</v>
      </c>
      <c r="G44" s="17"/>
      <c r="H44" s="18"/>
    </row>
    <row r="45" spans="1:8">
      <c r="A45" s="102"/>
      <c r="B45" s="32" t="s">
        <v>74</v>
      </c>
      <c r="C45" s="15"/>
      <c r="D45" s="16"/>
      <c r="E45" s="89"/>
      <c r="F45" s="16" t="s">
        <v>75</v>
      </c>
      <c r="G45" s="17"/>
      <c r="H45" s="18"/>
    </row>
    <row r="46" spans="1:8">
      <c r="A46" s="102"/>
      <c r="B46" s="32" t="s">
        <v>76</v>
      </c>
      <c r="C46" s="15"/>
      <c r="D46" s="16"/>
      <c r="E46" s="89"/>
      <c r="F46" s="16" t="s">
        <v>77</v>
      </c>
      <c r="G46" s="17"/>
      <c r="H46" s="18"/>
    </row>
    <row r="47" spans="1:8">
      <c r="A47" s="102"/>
      <c r="B47" s="33" t="s">
        <v>78</v>
      </c>
      <c r="C47" s="15"/>
      <c r="D47" s="16"/>
      <c r="E47" s="89"/>
      <c r="F47" s="16" t="s">
        <v>79</v>
      </c>
      <c r="G47" s="17"/>
      <c r="H47" s="18"/>
    </row>
    <row r="48" spans="1:8">
      <c r="A48" s="102"/>
      <c r="B48" s="34" t="s">
        <v>80</v>
      </c>
      <c r="C48" s="15"/>
      <c r="D48" s="16"/>
      <c r="E48" s="89"/>
      <c r="F48" s="35" t="s">
        <v>81</v>
      </c>
      <c r="G48" s="17"/>
      <c r="H48" s="18"/>
    </row>
    <row r="49" spans="1:8" ht="17.5" thickBot="1">
      <c r="A49" s="103"/>
      <c r="B49" s="70" t="s">
        <v>18</v>
      </c>
      <c r="C49" s="38">
        <f>SUM(C44:C48)</f>
        <v>0</v>
      </c>
      <c r="D49" s="36"/>
      <c r="E49" s="104"/>
      <c r="F49" s="37" t="s">
        <v>18</v>
      </c>
      <c r="G49" s="38">
        <f>SUM(G44:G48)</f>
        <v>0</v>
      </c>
      <c r="H49" s="39"/>
    </row>
    <row r="50" spans="1:8">
      <c r="A50" s="98" t="s">
        <v>82</v>
      </c>
      <c r="B50" s="65" t="s">
        <v>83</v>
      </c>
      <c r="C50" s="66"/>
      <c r="D50" s="67"/>
      <c r="E50" s="105" t="s">
        <v>84</v>
      </c>
      <c r="F50" s="67" t="s">
        <v>85</v>
      </c>
      <c r="G50" s="68"/>
      <c r="H50" s="69"/>
    </row>
    <row r="51" spans="1:8">
      <c r="A51" s="98"/>
      <c r="B51" s="40" t="s">
        <v>86</v>
      </c>
      <c r="C51" s="15"/>
      <c r="D51" s="16"/>
      <c r="E51" s="105"/>
      <c r="F51" s="16" t="s">
        <v>87</v>
      </c>
      <c r="G51" s="17"/>
      <c r="H51" s="18"/>
    </row>
    <row r="52" spans="1:8">
      <c r="A52" s="98"/>
      <c r="B52" s="14" t="s">
        <v>88</v>
      </c>
      <c r="C52" s="15"/>
      <c r="D52" s="16"/>
      <c r="E52" s="105"/>
      <c r="F52" s="16" t="s">
        <v>89</v>
      </c>
      <c r="G52" s="17"/>
      <c r="H52" s="18"/>
    </row>
    <row r="53" spans="1:8">
      <c r="A53" s="98"/>
      <c r="B53" s="26"/>
      <c r="C53" s="15"/>
      <c r="D53" s="16"/>
      <c r="E53" s="105"/>
      <c r="F53" s="35" t="s">
        <v>90</v>
      </c>
      <c r="G53" s="17"/>
      <c r="H53" s="18"/>
    </row>
    <row r="54" spans="1:8">
      <c r="A54" s="99"/>
      <c r="B54" s="21" t="s">
        <v>18</v>
      </c>
      <c r="C54" s="22">
        <f>SUM(C50:C53)</f>
        <v>0</v>
      </c>
      <c r="D54" s="16"/>
      <c r="E54" s="105"/>
      <c r="F54" s="16" t="s">
        <v>91</v>
      </c>
      <c r="G54" s="17"/>
      <c r="H54" s="18"/>
    </row>
    <row r="55" spans="1:8">
      <c r="A55" s="41"/>
      <c r="B55" s="26"/>
      <c r="C55" s="26"/>
      <c r="D55" s="42"/>
      <c r="E55" s="105"/>
      <c r="F55" s="16" t="s">
        <v>92</v>
      </c>
      <c r="G55" s="17"/>
      <c r="H55" s="18"/>
    </row>
    <row r="56" spans="1:8">
      <c r="A56" s="41"/>
      <c r="B56" s="26"/>
      <c r="C56" s="26"/>
      <c r="D56" s="42"/>
      <c r="E56" s="105"/>
      <c r="F56" s="16" t="s">
        <v>93</v>
      </c>
      <c r="G56" s="17"/>
      <c r="H56" s="18"/>
    </row>
    <row r="57" spans="1:8">
      <c r="A57" s="41"/>
      <c r="B57" s="5"/>
      <c r="C57" s="42"/>
      <c r="D57" s="16"/>
      <c r="E57" s="106"/>
      <c r="F57" s="19" t="s">
        <v>18</v>
      </c>
      <c r="G57" s="22">
        <f>SUM(G50:G56)</f>
        <v>0</v>
      </c>
      <c r="H57" s="18"/>
    </row>
    <row r="58" spans="1:8">
      <c r="A58" s="41"/>
      <c r="B58" s="28"/>
      <c r="C58" s="29"/>
      <c r="D58" s="16"/>
      <c r="E58" s="86" t="s">
        <v>94</v>
      </c>
      <c r="F58" s="16" t="s">
        <v>95</v>
      </c>
      <c r="G58" s="17"/>
      <c r="H58" s="18"/>
    </row>
    <row r="59" spans="1:8">
      <c r="A59" s="41"/>
      <c r="B59" s="14"/>
      <c r="C59" s="29"/>
      <c r="D59" s="16"/>
      <c r="E59" s="87"/>
      <c r="F59" s="19" t="s">
        <v>18</v>
      </c>
      <c r="G59" s="22">
        <f>SUM(G58)</f>
        <v>0</v>
      </c>
      <c r="H59" s="43"/>
    </row>
    <row r="60" spans="1:8">
      <c r="A60" s="41"/>
      <c r="B60" s="40"/>
      <c r="C60" s="29"/>
      <c r="D60" s="16"/>
      <c r="E60" s="88" t="s">
        <v>96</v>
      </c>
      <c r="F60" s="26" t="s">
        <v>97</v>
      </c>
      <c r="G60" s="17"/>
      <c r="H60" s="43"/>
    </row>
    <row r="61" spans="1:8">
      <c r="A61" s="41"/>
      <c r="B61" s="28"/>
      <c r="C61" s="29"/>
      <c r="D61" s="16"/>
      <c r="E61" s="89"/>
      <c r="F61" s="26" t="s">
        <v>98</v>
      </c>
      <c r="G61" s="17"/>
      <c r="H61" s="43"/>
    </row>
    <row r="62" spans="1:8">
      <c r="A62" s="41"/>
      <c r="B62" s="26"/>
      <c r="C62" s="42"/>
      <c r="D62" s="16"/>
      <c r="E62" s="89"/>
      <c r="F62" s="44" t="s">
        <v>99</v>
      </c>
      <c r="G62" s="17"/>
      <c r="H62" s="43"/>
    </row>
    <row r="63" spans="1:8">
      <c r="A63" s="41"/>
      <c r="B63" s="26"/>
      <c r="C63" s="42"/>
      <c r="D63" s="16"/>
      <c r="E63" s="89"/>
      <c r="F63" s="26" t="s">
        <v>100</v>
      </c>
      <c r="G63" s="17"/>
      <c r="H63" s="43"/>
    </row>
    <row r="64" spans="1:8">
      <c r="A64" s="41"/>
      <c r="B64" s="26"/>
      <c r="C64" s="42"/>
      <c r="D64" s="16"/>
      <c r="E64" s="89"/>
      <c r="F64" s="26" t="s">
        <v>101</v>
      </c>
      <c r="G64" s="17"/>
      <c r="H64" s="18"/>
    </row>
    <row r="65" spans="1:8">
      <c r="A65" s="41"/>
      <c r="B65" s="26"/>
      <c r="C65" s="42"/>
      <c r="D65" s="16"/>
      <c r="E65" s="89"/>
      <c r="F65" s="26" t="s">
        <v>102</v>
      </c>
      <c r="G65" s="17"/>
      <c r="H65" s="45"/>
    </row>
    <row r="66" spans="1:8" ht="15.5" customHeight="1">
      <c r="A66" s="41"/>
      <c r="B66" s="26"/>
      <c r="C66" s="42"/>
      <c r="D66" s="16"/>
      <c r="E66" s="89"/>
      <c r="F66" s="26" t="s">
        <v>103</v>
      </c>
      <c r="G66" s="17"/>
      <c r="H66" s="18"/>
    </row>
    <row r="67" spans="1:8" hidden="1">
      <c r="A67" s="41"/>
      <c r="B67" s="26"/>
      <c r="C67" s="42"/>
      <c r="D67" s="16"/>
      <c r="E67" s="89"/>
      <c r="F67" s="26"/>
      <c r="G67" s="17"/>
      <c r="H67" s="18"/>
    </row>
    <row r="68" spans="1:8">
      <c r="A68" s="41"/>
      <c r="B68" s="26"/>
      <c r="C68" s="42"/>
      <c r="D68" s="16"/>
      <c r="E68" s="90"/>
      <c r="F68" s="19" t="s">
        <v>18</v>
      </c>
      <c r="G68" s="46">
        <f>SUM(G60:G67)</f>
        <v>0</v>
      </c>
      <c r="H68" s="18"/>
    </row>
    <row r="69" spans="1:8">
      <c r="A69" s="41"/>
      <c r="B69" s="26"/>
      <c r="C69" s="42"/>
      <c r="D69" s="16"/>
      <c r="E69" s="91" t="s">
        <v>104</v>
      </c>
      <c r="F69" s="47" t="s">
        <v>105</v>
      </c>
      <c r="G69" s="17"/>
      <c r="H69" s="18"/>
    </row>
    <row r="70" spans="1:8">
      <c r="A70" s="41"/>
      <c r="B70" s="26"/>
      <c r="C70" s="42"/>
      <c r="D70" s="16"/>
      <c r="E70" s="92"/>
      <c r="F70" s="26" t="s">
        <v>106</v>
      </c>
      <c r="G70" s="17"/>
      <c r="H70" s="18"/>
    </row>
    <row r="71" spans="1:8">
      <c r="A71" s="41"/>
      <c r="B71" s="26"/>
      <c r="C71" s="42"/>
      <c r="D71" s="16"/>
      <c r="E71" s="93"/>
      <c r="F71" s="19" t="s">
        <v>18</v>
      </c>
      <c r="G71" s="46">
        <f>SUM(G69:G70)</f>
        <v>0</v>
      </c>
      <c r="H71" s="18"/>
    </row>
    <row r="72" spans="1:8">
      <c r="A72" s="41"/>
      <c r="B72" s="26"/>
      <c r="C72" s="42"/>
      <c r="D72" s="25"/>
      <c r="E72" s="88" t="s">
        <v>107</v>
      </c>
      <c r="F72" s="26" t="s">
        <v>108</v>
      </c>
      <c r="G72" s="17"/>
      <c r="H72" s="18"/>
    </row>
    <row r="73" spans="1:8">
      <c r="A73" s="41"/>
      <c r="B73" s="26"/>
      <c r="C73" s="42"/>
      <c r="D73" s="25"/>
      <c r="E73" s="89"/>
      <c r="F73" s="44" t="s">
        <v>109</v>
      </c>
      <c r="G73" s="17"/>
      <c r="H73" s="48"/>
    </row>
    <row r="74" spans="1:8">
      <c r="A74" s="41"/>
      <c r="B74" s="26"/>
      <c r="C74" s="42"/>
      <c r="D74" s="25"/>
      <c r="E74" s="89"/>
      <c r="F74" s="44" t="s">
        <v>110</v>
      </c>
      <c r="G74" s="17"/>
      <c r="H74" s="18"/>
    </row>
    <row r="75" spans="1:8">
      <c r="A75" s="41"/>
      <c r="B75" s="26"/>
      <c r="C75" s="42"/>
      <c r="D75" s="25"/>
      <c r="E75" s="89"/>
      <c r="F75" s="47" t="s">
        <v>111</v>
      </c>
      <c r="G75" s="17"/>
      <c r="H75" s="18"/>
    </row>
    <row r="76" spans="1:8">
      <c r="A76" s="41"/>
      <c r="B76" s="26"/>
      <c r="C76" s="42"/>
      <c r="D76" s="25"/>
      <c r="E76" s="89"/>
      <c r="F76" s="26" t="s">
        <v>112</v>
      </c>
      <c r="G76" s="17"/>
      <c r="H76" s="18"/>
    </row>
    <row r="77" spans="1:8">
      <c r="A77" s="41"/>
      <c r="B77" s="26"/>
      <c r="C77" s="42"/>
      <c r="D77" s="25"/>
      <c r="E77" s="89"/>
      <c r="F77" s="26" t="s">
        <v>113</v>
      </c>
      <c r="G77" s="17"/>
      <c r="H77" s="18"/>
    </row>
    <row r="78" spans="1:8">
      <c r="A78" s="41"/>
      <c r="B78" s="26"/>
      <c r="C78" s="42"/>
      <c r="D78" s="25"/>
      <c r="E78" s="89"/>
      <c r="F78" s="26" t="s">
        <v>114</v>
      </c>
      <c r="G78" s="17"/>
      <c r="H78" s="18"/>
    </row>
    <row r="79" spans="1:8">
      <c r="A79" s="41"/>
      <c r="B79" s="26"/>
      <c r="C79" s="42"/>
      <c r="D79" s="25"/>
      <c r="E79" s="89"/>
      <c r="F79" s="26" t="s">
        <v>115</v>
      </c>
      <c r="G79" s="17"/>
      <c r="H79" s="18"/>
    </row>
    <row r="80" spans="1:8">
      <c r="A80" s="41"/>
      <c r="B80" s="26"/>
      <c r="C80" s="42"/>
      <c r="D80" s="25"/>
      <c r="E80" s="89"/>
      <c r="F80" s="26" t="s">
        <v>116</v>
      </c>
      <c r="G80" s="17"/>
      <c r="H80" s="18"/>
    </row>
    <row r="81" spans="1:8">
      <c r="A81" s="41"/>
      <c r="B81" s="26"/>
      <c r="C81" s="42"/>
      <c r="D81" s="25"/>
      <c r="E81" s="89"/>
      <c r="F81" s="49" t="s">
        <v>117</v>
      </c>
      <c r="G81" s="17"/>
      <c r="H81" s="18"/>
    </row>
    <row r="82" spans="1:8">
      <c r="A82" s="41"/>
      <c r="B82" s="26"/>
      <c r="C82" s="42"/>
      <c r="D82" s="25"/>
      <c r="E82" s="89"/>
      <c r="F82" s="26" t="s">
        <v>135</v>
      </c>
      <c r="G82" s="17"/>
      <c r="H82" s="18"/>
    </row>
    <row r="83" spans="1:8">
      <c r="A83" s="41"/>
      <c r="B83" s="26"/>
      <c r="C83" s="42"/>
      <c r="D83" s="25"/>
      <c r="E83" s="89"/>
      <c r="F83" s="26"/>
      <c r="G83" s="17"/>
      <c r="H83" s="18"/>
    </row>
    <row r="84" spans="1:8">
      <c r="A84" s="41"/>
      <c r="B84" s="26"/>
      <c r="C84" s="50"/>
      <c r="D84" s="25"/>
      <c r="E84" s="90"/>
      <c r="F84" s="31" t="s">
        <v>18</v>
      </c>
      <c r="G84" s="46">
        <f>SUM(G72:G82)</f>
        <v>0</v>
      </c>
      <c r="H84" s="18"/>
    </row>
    <row r="85" spans="1:8">
      <c r="A85" s="41"/>
      <c r="B85" s="26"/>
      <c r="C85" s="50"/>
      <c r="D85" s="25"/>
      <c r="E85" s="88" t="s">
        <v>118</v>
      </c>
      <c r="F85" s="26" t="s">
        <v>119</v>
      </c>
      <c r="G85" s="17"/>
      <c r="H85" s="18"/>
    </row>
    <row r="86" spans="1:8">
      <c r="A86" s="41"/>
      <c r="B86" s="26"/>
      <c r="C86" s="50"/>
      <c r="D86" s="25"/>
      <c r="E86" s="89"/>
      <c r="F86" s="26" t="s">
        <v>120</v>
      </c>
      <c r="G86" s="17"/>
      <c r="H86" s="18"/>
    </row>
    <row r="87" spans="1:8">
      <c r="A87" s="41"/>
      <c r="B87" s="26"/>
      <c r="C87" s="42"/>
      <c r="D87" s="25"/>
      <c r="E87" s="89"/>
      <c r="F87" s="26" t="s">
        <v>121</v>
      </c>
      <c r="G87" s="17"/>
      <c r="H87" s="18"/>
    </row>
    <row r="88" spans="1:8">
      <c r="A88" s="41"/>
      <c r="B88" s="26"/>
      <c r="C88" s="42"/>
      <c r="D88" s="25"/>
      <c r="E88" s="89"/>
      <c r="F88" s="26" t="s">
        <v>122</v>
      </c>
      <c r="G88" s="17"/>
      <c r="H88" s="18"/>
    </row>
    <row r="89" spans="1:8">
      <c r="A89" s="41"/>
      <c r="B89" s="26"/>
      <c r="C89" s="42"/>
      <c r="D89" s="25"/>
      <c r="E89" s="89"/>
      <c r="F89" s="26" t="s">
        <v>123</v>
      </c>
      <c r="G89" s="17"/>
      <c r="H89" s="18"/>
    </row>
    <row r="90" spans="1:8">
      <c r="A90" s="41"/>
      <c r="B90" s="26"/>
      <c r="C90" s="42"/>
      <c r="D90" s="25"/>
      <c r="E90" s="89"/>
      <c r="F90" s="26"/>
      <c r="G90" s="17"/>
      <c r="H90" s="18"/>
    </row>
    <row r="91" spans="1:8">
      <c r="A91" s="41"/>
      <c r="B91" s="26"/>
      <c r="C91" s="42"/>
      <c r="D91" s="25"/>
      <c r="E91" s="90"/>
      <c r="F91" s="31" t="s">
        <v>29</v>
      </c>
      <c r="G91" s="22">
        <f>SUM(G85:G89)</f>
        <v>0</v>
      </c>
      <c r="H91" s="18"/>
    </row>
    <row r="92" spans="1:8">
      <c r="A92" s="41"/>
      <c r="B92" s="26"/>
      <c r="C92" s="42"/>
      <c r="D92" s="25"/>
      <c r="E92" s="94" t="s">
        <v>124</v>
      </c>
      <c r="F92" s="26" t="s">
        <v>125</v>
      </c>
      <c r="G92" s="17"/>
      <c r="H92" s="18"/>
    </row>
    <row r="93" spans="1:8">
      <c r="A93" s="41"/>
      <c r="B93" s="26"/>
      <c r="C93" s="42"/>
      <c r="D93" s="25"/>
      <c r="E93" s="95"/>
      <c r="F93" s="26" t="s">
        <v>126</v>
      </c>
      <c r="G93" s="17"/>
      <c r="H93" s="18"/>
    </row>
    <row r="94" spans="1:8">
      <c r="A94" s="51"/>
      <c r="B94" s="26"/>
      <c r="C94" s="42"/>
      <c r="D94" s="25"/>
      <c r="E94" s="96"/>
      <c r="F94" s="19" t="s">
        <v>18</v>
      </c>
      <c r="G94" s="22">
        <f>SUM(G92:G93)</f>
        <v>0</v>
      </c>
      <c r="H94" s="18"/>
    </row>
    <row r="95" spans="1:8">
      <c r="A95" s="79" t="s">
        <v>127</v>
      </c>
      <c r="B95" s="16" t="s">
        <v>128</v>
      </c>
      <c r="C95" s="52">
        <f>C21+C33+C27+C54+C49+C43</f>
        <v>0</v>
      </c>
      <c r="D95" s="16"/>
      <c r="E95" s="82" t="s">
        <v>129</v>
      </c>
      <c r="F95" s="16" t="s">
        <v>128</v>
      </c>
      <c r="G95" s="53">
        <f>G15+G28+G37+G43+G49+G57+G59+G71+G68+G84+G91+G94+G33</f>
        <v>0</v>
      </c>
      <c r="H95" s="18"/>
    </row>
    <row r="96" spans="1:8">
      <c r="A96" s="80"/>
      <c r="B96" s="16" t="s">
        <v>130</v>
      </c>
      <c r="C96" s="29">
        <v>0</v>
      </c>
      <c r="D96" s="16"/>
      <c r="E96" s="83"/>
      <c r="F96" s="16" t="s">
        <v>131</v>
      </c>
      <c r="G96" s="53">
        <f>C97-G95</f>
        <v>0</v>
      </c>
      <c r="H96" s="18"/>
    </row>
    <row r="97" spans="1:8" ht="17.5" thickBot="1">
      <c r="A97" s="81"/>
      <c r="B97" s="36" t="s">
        <v>132</v>
      </c>
      <c r="C97" s="54">
        <f>C95+C96</f>
        <v>0</v>
      </c>
      <c r="D97" s="36"/>
      <c r="E97" s="84"/>
      <c r="F97" s="36" t="s">
        <v>132</v>
      </c>
      <c r="G97" s="55">
        <f>G95+G96</f>
        <v>0</v>
      </c>
      <c r="H97" s="39"/>
    </row>
    <row r="98" spans="1:8" ht="17.5" thickBot="1">
      <c r="A98" s="56"/>
      <c r="B98" s="57"/>
      <c r="C98" s="58"/>
      <c r="D98" s="57"/>
      <c r="E98" s="57"/>
      <c r="F98" s="59" t="s">
        <v>133</v>
      </c>
      <c r="G98" s="60">
        <f>C95-G95</f>
        <v>0</v>
      </c>
      <c r="H98" s="61"/>
    </row>
  </sheetData>
  <mergeCells count="32">
    <mergeCell ref="L11:L14"/>
    <mergeCell ref="M12:M14"/>
    <mergeCell ref="N12:N14"/>
    <mergeCell ref="O12:O14"/>
    <mergeCell ref="F3:H8"/>
    <mergeCell ref="A1:H1"/>
    <mergeCell ref="A9:E9"/>
    <mergeCell ref="F9:H9"/>
    <mergeCell ref="A10:D10"/>
    <mergeCell ref="E10:H10"/>
    <mergeCell ref="A12:A21"/>
    <mergeCell ref="E12:E15"/>
    <mergeCell ref="E16:E28"/>
    <mergeCell ref="A22:A27"/>
    <mergeCell ref="A28:A33"/>
    <mergeCell ref="E29:E33"/>
    <mergeCell ref="A95:A97"/>
    <mergeCell ref="E95:E97"/>
    <mergeCell ref="C2:F2"/>
    <mergeCell ref="E58:E59"/>
    <mergeCell ref="E60:E68"/>
    <mergeCell ref="E69:E71"/>
    <mergeCell ref="E72:E84"/>
    <mergeCell ref="E85:E91"/>
    <mergeCell ref="E92:E94"/>
    <mergeCell ref="A34:A43"/>
    <mergeCell ref="E34:E37"/>
    <mergeCell ref="E38:E43"/>
    <mergeCell ref="A44:A49"/>
    <mergeCell ref="E44:E49"/>
    <mergeCell ref="A50:A54"/>
    <mergeCell ref="E50:E57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86" fitToHeight="0" orientation="portrait" r:id="rId1"/>
  <rowBreaks count="1" manualBreakCount="1">
    <brk id="49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Hyeongdoo Kim</dc:creator>
  <cp:lastModifiedBy>Hyeongdoo Kim</cp:lastModifiedBy>
  <cp:lastPrinted>2024-01-14T06:48:05Z</cp:lastPrinted>
  <dcterms:created xsi:type="dcterms:W3CDTF">2024-01-07T08:04:18Z</dcterms:created>
  <dcterms:modified xsi:type="dcterms:W3CDTF">2024-02-11T05:08:15Z</dcterms:modified>
</cp:coreProperties>
</file>